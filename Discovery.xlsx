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ojeto_Rorick Engenharia\"/>
    </mc:Choice>
  </mc:AlternateContent>
  <xr:revisionPtr revIDLastSave="0" documentId="13_ncr:1_{CF7B066E-DB54-4C15-88CE-758FD4A53297}" xr6:coauthVersionLast="47" xr6:coauthVersionMax="47" xr10:uidLastSave="{00000000-0000-0000-0000-000000000000}"/>
  <bookViews>
    <workbookView xWindow="20370" yWindow="-120" windowWidth="29040" windowHeight="15840" xr2:uid="{2B60ACF4-CC5F-4493-B649-1420562E9025}"/>
  </bookViews>
  <sheets>
    <sheet name="Categoria" sheetId="1" r:id="rId1"/>
    <sheet name="Telefone" sheetId="2" r:id="rId2"/>
  </sheets>
  <definedNames>
    <definedName name="_xlnm._FilterDatabase" localSheetId="0" hidden="1">Categoria!$I$1:$I$11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2" i="1"/>
</calcChain>
</file>

<file path=xl/sharedStrings.xml><?xml version="1.0" encoding="utf-8"?>
<sst xmlns="http://schemas.openxmlformats.org/spreadsheetml/2006/main" count="62" uniqueCount="55">
  <si>
    <t>Categoria</t>
  </si>
  <si>
    <t>Subcategoria</t>
  </si>
  <si>
    <t>Material</t>
  </si>
  <si>
    <t>Combustível</t>
  </si>
  <si>
    <t>Ferramentas</t>
  </si>
  <si>
    <t>Alimentação</t>
  </si>
  <si>
    <t>Documentação</t>
  </si>
  <si>
    <t>EPI</t>
  </si>
  <si>
    <t>Supervisão</t>
  </si>
  <si>
    <t>Hospedagem</t>
  </si>
  <si>
    <t>Mão de Obra</t>
  </si>
  <si>
    <t>Movimentação de solo</t>
  </si>
  <si>
    <t>Sondagem</t>
  </si>
  <si>
    <t>Projeto</t>
  </si>
  <si>
    <t>Canteiro de Obra</t>
  </si>
  <si>
    <t>Fundação</t>
  </si>
  <si>
    <t>Elevação Alvenaria</t>
  </si>
  <si>
    <t>Laje</t>
  </si>
  <si>
    <t>Cobertura</t>
  </si>
  <si>
    <t>Hidráulica</t>
  </si>
  <si>
    <t>Elétrica</t>
  </si>
  <si>
    <t>Cabeamento Estruturado</t>
  </si>
  <si>
    <t>Acabamento</t>
  </si>
  <si>
    <t>Escradias</t>
  </si>
  <si>
    <t>Louças e Metais</t>
  </si>
  <si>
    <t>Piso</t>
  </si>
  <si>
    <t>Forro</t>
  </si>
  <si>
    <t>Pintura</t>
  </si>
  <si>
    <t>indice_Categoria</t>
  </si>
  <si>
    <t>indice_Subcategoria</t>
  </si>
  <si>
    <t>Plotagem</t>
  </si>
  <si>
    <t>ASO</t>
  </si>
  <si>
    <t>Certificados</t>
  </si>
  <si>
    <t>Impostos</t>
  </si>
  <si>
    <t>Pedágio</t>
  </si>
  <si>
    <t>M-Café da manhã</t>
  </si>
  <si>
    <t>M-Almoço</t>
  </si>
  <si>
    <t>M-Janta</t>
  </si>
  <si>
    <t>S-Café da Sanhã</t>
  </si>
  <si>
    <t>S-AlSoço</t>
  </si>
  <si>
    <t>S-Janta</t>
  </si>
  <si>
    <t>Estacionamento</t>
  </si>
  <si>
    <t>Transporte</t>
  </si>
  <si>
    <t>Outros</t>
  </si>
  <si>
    <t>Savero - 01</t>
  </si>
  <si>
    <t>Savero - 02</t>
  </si>
  <si>
    <t>Voyage - 03</t>
  </si>
  <si>
    <t>Terceiros</t>
  </si>
  <si>
    <t>Telefone</t>
  </si>
  <si>
    <t>Rosane</t>
  </si>
  <si>
    <t>11-94450-4411</t>
  </si>
  <si>
    <t>Erick</t>
  </si>
  <si>
    <t>11 - 94450-8585</t>
  </si>
  <si>
    <t>11 - 973535055</t>
  </si>
  <si>
    <t>Levantas o custo das Ferramentas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</si>
</sst>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56A2-8DBE-48B1-9C6F-E87E222C0CD3}">
  <dimension ref="A1:I41"/>
  <sheetViews>
    <sheetView tabSelected="1" workbookViewId="0"/>
  </sheetViews>
  <sheetFormatPr defaultRowHeight="15" x14ac:dyDescent="0.25"/>
  <cols>
    <col min="1" max="1" width="16.7109375" customWidth="1"/>
    <col min="2" max="2" width="22.7109375" customWidth="1"/>
    <col min="3" max="3" width="5" customWidth="1"/>
    <col min="4" max="4" width="16" bestFit="1" customWidth="1"/>
    <col min="5" max="5" width="19.140625" bestFit="1" customWidth="1"/>
    <col min="6" max="6" width="23.42578125" style="3" bestFit="1" customWidth="1"/>
  </cols>
  <sheetData>
    <row r="1" spans="1:9" x14ac:dyDescent="0.25">
      <c r="A1" t="s">
        <v>28</v>
      </c>
      <c r="B1" s="2" t="s">
        <v>0</v>
      </c>
      <c r="C1" s="2"/>
      <c r="D1" t="s">
        <v>28</v>
      </c>
      <c r="E1" t="s">
        <v>29</v>
      </c>
      <c r="F1" s="2" t="s">
        <v>1</v>
      </c>
    </row>
    <row r="2" spans="1:9" x14ac:dyDescent="0.25">
      <c r="A2">
        <v>1</v>
      </c>
      <c r="B2" s="2" t="s">
        <v>2</v>
      </c>
      <c r="C2" s="2"/>
      <c r="D2" s="2">
        <v>1</v>
      </c>
      <c r="E2" s="2" t="str">
        <f>VLOOKUP(D2,$A$2:$B$11,2,FALSE)</f>
        <v>Material</v>
      </c>
      <c r="F2" s="2" t="s">
        <v>11</v>
      </c>
      <c r="I2" s="2"/>
    </row>
    <row r="3" spans="1:9" x14ac:dyDescent="0.25">
      <c r="A3">
        <v>2</v>
      </c>
      <c r="B3" s="2" t="s">
        <v>4</v>
      </c>
      <c r="C3" s="2"/>
      <c r="D3" s="2">
        <v>1</v>
      </c>
      <c r="E3" s="2" t="str">
        <f>VLOOKUP(D3,$A$2:$B$11,2,FALSE)</f>
        <v>Material</v>
      </c>
      <c r="F3" s="3" t="s">
        <v>12</v>
      </c>
      <c r="I3" s="3"/>
    </row>
    <row r="4" spans="1:9" x14ac:dyDescent="0.25">
      <c r="A4">
        <v>3</v>
      </c>
      <c r="B4" s="2" t="s">
        <v>6</v>
      </c>
      <c r="C4" s="2"/>
      <c r="D4" s="2">
        <v>1</v>
      </c>
      <c r="E4" s="2" t="str">
        <f>VLOOKUP(D4,$A$2:$B$11,2,FALSE)</f>
        <v>Material</v>
      </c>
      <c r="F4" s="3" t="s">
        <v>13</v>
      </c>
      <c r="I4" s="2"/>
    </row>
    <row r="5" spans="1:9" x14ac:dyDescent="0.25">
      <c r="A5">
        <v>4</v>
      </c>
      <c r="B5" s="2" t="s">
        <v>7</v>
      </c>
      <c r="C5" s="2"/>
      <c r="D5" s="2">
        <v>1</v>
      </c>
      <c r="E5" s="2" t="str">
        <f>VLOOKUP(D5,$A$2:$B$11,2,FALSE)</f>
        <v>Material</v>
      </c>
      <c r="F5" s="3" t="s">
        <v>14</v>
      </c>
      <c r="I5" s="3"/>
    </row>
    <row r="6" spans="1:9" x14ac:dyDescent="0.25">
      <c r="A6">
        <v>5</v>
      </c>
      <c r="B6" s="2" t="s">
        <v>5</v>
      </c>
      <c r="C6" s="2"/>
      <c r="D6" s="2">
        <v>1</v>
      </c>
      <c r="E6" s="2" t="str">
        <f>VLOOKUP(D6,$A$2:$B$11,2,FALSE)</f>
        <v>Material</v>
      </c>
      <c r="F6" s="3" t="s">
        <v>15</v>
      </c>
      <c r="I6" s="2"/>
    </row>
    <row r="7" spans="1:9" x14ac:dyDescent="0.25">
      <c r="A7">
        <v>6</v>
      </c>
      <c r="B7" s="2" t="s">
        <v>3</v>
      </c>
      <c r="C7" s="2"/>
      <c r="D7" s="2">
        <v>1</v>
      </c>
      <c r="E7" s="2" t="str">
        <f>VLOOKUP(D7,$A$2:$B$11,2,FALSE)</f>
        <v>Material</v>
      </c>
      <c r="F7" s="3" t="s">
        <v>16</v>
      </c>
      <c r="I7" s="2"/>
    </row>
    <row r="8" spans="1:9" x14ac:dyDescent="0.25">
      <c r="A8">
        <v>7</v>
      </c>
      <c r="B8" s="2" t="s">
        <v>9</v>
      </c>
      <c r="C8" s="2"/>
      <c r="D8" s="2">
        <v>1</v>
      </c>
      <c r="E8" s="2" t="str">
        <f>VLOOKUP(D8,$A$2:$B$11,2,FALSE)</f>
        <v>Material</v>
      </c>
      <c r="F8" s="3" t="s">
        <v>17</v>
      </c>
      <c r="I8" s="2"/>
    </row>
    <row r="9" spans="1:9" x14ac:dyDescent="0.25">
      <c r="A9">
        <v>8</v>
      </c>
      <c r="B9" s="2" t="s">
        <v>10</v>
      </c>
      <c r="C9" s="2"/>
      <c r="D9" s="2">
        <v>1</v>
      </c>
      <c r="E9" s="2" t="str">
        <f>VLOOKUP(D9,$A$2:$B$11,2,FALSE)</f>
        <v>Material</v>
      </c>
      <c r="F9" s="3" t="s">
        <v>18</v>
      </c>
      <c r="I9" s="2"/>
    </row>
    <row r="10" spans="1:9" x14ac:dyDescent="0.25">
      <c r="A10">
        <v>9</v>
      </c>
      <c r="B10" s="2" t="s">
        <v>8</v>
      </c>
      <c r="C10" s="2"/>
      <c r="D10" s="2">
        <v>1</v>
      </c>
      <c r="E10" s="2" t="str">
        <f>VLOOKUP(D10,$A$2:$B$11,2,FALSE)</f>
        <v>Material</v>
      </c>
      <c r="F10" s="3" t="s">
        <v>19</v>
      </c>
      <c r="I10" s="3"/>
    </row>
    <row r="11" spans="1:9" x14ac:dyDescent="0.25">
      <c r="A11">
        <v>10</v>
      </c>
      <c r="B11" s="2" t="s">
        <v>47</v>
      </c>
      <c r="D11" s="2">
        <v>1</v>
      </c>
      <c r="E11" s="2" t="str">
        <f>VLOOKUP(D11,$A$2:$B$11,2,FALSE)</f>
        <v>Material</v>
      </c>
      <c r="F11" s="3" t="s">
        <v>20</v>
      </c>
      <c r="I11" s="2"/>
    </row>
    <row r="12" spans="1:9" x14ac:dyDescent="0.25">
      <c r="D12" s="2">
        <v>1</v>
      </c>
      <c r="E12" s="2" t="str">
        <f>VLOOKUP(D12,$A$2:$B$11,2,FALSE)</f>
        <v>Material</v>
      </c>
      <c r="F12" s="3" t="s">
        <v>21</v>
      </c>
    </row>
    <row r="13" spans="1:9" x14ac:dyDescent="0.25">
      <c r="D13" s="2">
        <v>1</v>
      </c>
      <c r="E13" s="2" t="str">
        <f>VLOOKUP(D13,$A$2:$B$11,2,FALSE)</f>
        <v>Material</v>
      </c>
      <c r="F13" s="3" t="s">
        <v>22</v>
      </c>
    </row>
    <row r="14" spans="1:9" x14ac:dyDescent="0.25">
      <c r="D14" s="2">
        <v>1</v>
      </c>
      <c r="E14" s="2" t="str">
        <f>VLOOKUP(D14,$A$2:$B$11,2,FALSE)</f>
        <v>Material</v>
      </c>
      <c r="F14" s="3" t="s">
        <v>23</v>
      </c>
    </row>
    <row r="15" spans="1:9" x14ac:dyDescent="0.25">
      <c r="D15" s="2">
        <v>1</v>
      </c>
      <c r="E15" s="2" t="str">
        <f>VLOOKUP(D15,$A$2:$B$11,2,FALSE)</f>
        <v>Material</v>
      </c>
      <c r="F15" s="3" t="s">
        <v>24</v>
      </c>
    </row>
    <row r="16" spans="1:9" x14ac:dyDescent="0.25">
      <c r="D16" s="2">
        <v>1</v>
      </c>
      <c r="E16" s="2" t="str">
        <f>VLOOKUP(D16,$A$2:$B$11,2,FALSE)</f>
        <v>Material</v>
      </c>
      <c r="F16" s="3" t="s">
        <v>25</v>
      </c>
    </row>
    <row r="17" spans="4:6" x14ac:dyDescent="0.25">
      <c r="D17" s="2">
        <v>1</v>
      </c>
      <c r="E17" s="2" t="str">
        <f>VLOOKUP(D17,$A$2:$B$11,2,FALSE)</f>
        <v>Material</v>
      </c>
      <c r="F17" s="3" t="s">
        <v>26</v>
      </c>
    </row>
    <row r="18" spans="4:6" x14ac:dyDescent="0.25">
      <c r="D18" s="2">
        <v>1</v>
      </c>
      <c r="E18" s="2" t="str">
        <f>VLOOKUP(D18,$A$2:$B$11,2,FALSE)</f>
        <v>Material</v>
      </c>
      <c r="F18" s="3" t="s">
        <v>27</v>
      </c>
    </row>
    <row r="19" spans="4:6" x14ac:dyDescent="0.25">
      <c r="D19" s="2">
        <v>3</v>
      </c>
      <c r="E19" s="2" t="str">
        <f>VLOOKUP(D19,$A$2:$B$11,2,FALSE)</f>
        <v>Documentação</v>
      </c>
      <c r="F19" s="3" t="s">
        <v>30</v>
      </c>
    </row>
    <row r="20" spans="4:6" x14ac:dyDescent="0.25">
      <c r="D20" s="2">
        <v>3</v>
      </c>
      <c r="E20" s="2" t="str">
        <f>VLOOKUP(D20,$A$2:$B$11,2,FALSE)</f>
        <v>Documentação</v>
      </c>
      <c r="F20" s="3" t="s">
        <v>31</v>
      </c>
    </row>
    <row r="21" spans="4:6" x14ac:dyDescent="0.25">
      <c r="D21" s="2">
        <v>3</v>
      </c>
      <c r="E21" s="2" t="str">
        <f>VLOOKUP(D21,$A$2:$B$11,2,FALSE)</f>
        <v>Documentação</v>
      </c>
      <c r="F21" s="3" t="s">
        <v>32</v>
      </c>
    </row>
    <row r="22" spans="4:6" x14ac:dyDescent="0.25">
      <c r="D22" s="2">
        <v>3</v>
      </c>
      <c r="E22" s="2" t="str">
        <f>VLOOKUP(D22,$A$2:$B$11,2,FALSE)</f>
        <v>Documentação</v>
      </c>
      <c r="F22" s="3" t="s">
        <v>33</v>
      </c>
    </row>
    <row r="23" spans="4:6" x14ac:dyDescent="0.25">
      <c r="D23" s="2">
        <v>5</v>
      </c>
      <c r="E23" s="2" t="str">
        <f>VLOOKUP(D23,$A$2:$B$11,2,FALSE)</f>
        <v>Alimentação</v>
      </c>
      <c r="F23" s="3" t="s">
        <v>35</v>
      </c>
    </row>
    <row r="24" spans="4:6" x14ac:dyDescent="0.25">
      <c r="D24" s="2">
        <v>5</v>
      </c>
      <c r="E24" s="2" t="str">
        <f>VLOOKUP(D24,$A$2:$B$11,2,FALSE)</f>
        <v>Alimentação</v>
      </c>
      <c r="F24" s="3" t="s">
        <v>36</v>
      </c>
    </row>
    <row r="25" spans="4:6" x14ac:dyDescent="0.25">
      <c r="D25" s="2">
        <v>5</v>
      </c>
      <c r="E25" s="2" t="str">
        <f>VLOOKUP(D25,$A$2:$B$11,2,FALSE)</f>
        <v>Alimentação</v>
      </c>
      <c r="F25" s="3" t="s">
        <v>37</v>
      </c>
    </row>
    <row r="26" spans="4:6" x14ac:dyDescent="0.25">
      <c r="D26" s="3">
        <v>9</v>
      </c>
      <c r="E26" s="2" t="str">
        <f>VLOOKUP(D26,$A$2:$B$11,2,FALSE)</f>
        <v>Supervisão</v>
      </c>
      <c r="F26" s="3" t="s">
        <v>38</v>
      </c>
    </row>
    <row r="27" spans="4:6" x14ac:dyDescent="0.25">
      <c r="D27" s="3">
        <v>9</v>
      </c>
      <c r="E27" s="2" t="str">
        <f>VLOOKUP(D27,$A$2:$B$11,2,FALSE)</f>
        <v>Supervisão</v>
      </c>
      <c r="F27" s="3" t="s">
        <v>39</v>
      </c>
    </row>
    <row r="28" spans="4:6" x14ac:dyDescent="0.25">
      <c r="D28" s="3">
        <v>9</v>
      </c>
      <c r="E28" s="2" t="str">
        <f>VLOOKUP(D28,$A$2:$B$11,2,FALSE)</f>
        <v>Supervisão</v>
      </c>
      <c r="F28" s="3" t="s">
        <v>40</v>
      </c>
    </row>
    <row r="29" spans="4:6" x14ac:dyDescent="0.25">
      <c r="D29" s="3">
        <v>9</v>
      </c>
      <c r="E29" s="2" t="str">
        <f>VLOOKUP(D29,$A$2:$B$11,2,FALSE)</f>
        <v>Supervisão</v>
      </c>
      <c r="F29" s="3" t="s">
        <v>41</v>
      </c>
    </row>
    <row r="30" spans="4:6" x14ac:dyDescent="0.25">
      <c r="D30" s="3">
        <v>9</v>
      </c>
      <c r="E30" s="2" t="str">
        <f>VLOOKUP(D30,$A$2:$B$11,2,FALSE)</f>
        <v>Supervisão</v>
      </c>
      <c r="F30" s="3" t="s">
        <v>42</v>
      </c>
    </row>
    <row r="31" spans="4:6" x14ac:dyDescent="0.25">
      <c r="D31" s="3">
        <v>9</v>
      </c>
      <c r="E31" s="2" t="str">
        <f>VLOOKUP(D31,$A$2:$B$11,2,FALSE)</f>
        <v>Supervisão</v>
      </c>
      <c r="F31" s="3" t="s">
        <v>34</v>
      </c>
    </row>
    <row r="32" spans="4:6" x14ac:dyDescent="0.25">
      <c r="D32" s="3">
        <v>9</v>
      </c>
      <c r="E32" s="2" t="str">
        <f>VLOOKUP(D32,$A$2:$B$11,2,FALSE)</f>
        <v>Supervisão</v>
      </c>
      <c r="F32" s="3" t="s">
        <v>43</v>
      </c>
    </row>
    <row r="33" spans="4:6" x14ac:dyDescent="0.25">
      <c r="D33" s="2">
        <v>7</v>
      </c>
      <c r="E33" s="2" t="str">
        <f>VLOOKUP(D33,$A$2:$B$11,2,FALSE)</f>
        <v>Hospedagem</v>
      </c>
      <c r="F33" s="3" t="s">
        <v>10</v>
      </c>
    </row>
    <row r="34" spans="4:6" x14ac:dyDescent="0.25">
      <c r="D34" s="2">
        <v>7</v>
      </c>
      <c r="E34" s="2" t="str">
        <f>VLOOKUP(D34,$A$2:$B$11,2,FALSE)</f>
        <v>Hospedagem</v>
      </c>
      <c r="F34" s="3" t="s">
        <v>8</v>
      </c>
    </row>
    <row r="35" spans="4:6" x14ac:dyDescent="0.25">
      <c r="D35" s="3">
        <v>2</v>
      </c>
      <c r="E35" s="2" t="str">
        <f>VLOOKUP(D35,$A$2:$B$11,2,FALSE)</f>
        <v>Ferramentas</v>
      </c>
      <c r="F35" s="2" t="s">
        <v>4</v>
      </c>
    </row>
    <row r="36" spans="4:6" x14ac:dyDescent="0.25">
      <c r="D36" s="3">
        <v>4</v>
      </c>
      <c r="E36" s="2" t="str">
        <f>VLOOKUP(D36,$A$2:$B$11,2,FALSE)</f>
        <v>EPI</v>
      </c>
      <c r="F36" s="2" t="s">
        <v>7</v>
      </c>
    </row>
    <row r="37" spans="4:6" x14ac:dyDescent="0.25">
      <c r="D37" s="2">
        <v>6</v>
      </c>
      <c r="E37" s="2" t="str">
        <f>VLOOKUP(D37,$A$2:$B$11,2,FALSE)</f>
        <v>Combustível</v>
      </c>
      <c r="F37" s="3" t="s">
        <v>44</v>
      </c>
    </row>
    <row r="38" spans="4:6" x14ac:dyDescent="0.25">
      <c r="D38" s="2">
        <v>6</v>
      </c>
      <c r="E38" s="2" t="str">
        <f>VLOOKUP(D38,$A$2:$B$11,2,FALSE)</f>
        <v>Combustível</v>
      </c>
      <c r="F38" s="3" t="s">
        <v>45</v>
      </c>
    </row>
    <row r="39" spans="4:6" x14ac:dyDescent="0.25">
      <c r="D39" s="2">
        <v>6</v>
      </c>
      <c r="E39" s="2" t="str">
        <f>VLOOKUP(D39,$A$2:$B$11,2,FALSE)</f>
        <v>Combustível</v>
      </c>
      <c r="F39" s="3" t="s">
        <v>46</v>
      </c>
    </row>
    <row r="40" spans="4:6" x14ac:dyDescent="0.25">
      <c r="D40" s="2">
        <v>8</v>
      </c>
      <c r="E40" s="2" t="str">
        <f>VLOOKUP(D40,$A$2:$B$11,2,FALSE)</f>
        <v>Mão de Obra</v>
      </c>
      <c r="F40" s="2" t="s">
        <v>10</v>
      </c>
    </row>
    <row r="41" spans="4:6" x14ac:dyDescent="0.25">
      <c r="D41" s="2">
        <v>10</v>
      </c>
      <c r="E41" s="2" t="str">
        <f>VLOOKUP(D41,$A$2:$B$11,2,FALSE)</f>
        <v>Terceiros</v>
      </c>
      <c r="F41" s="2" t="s">
        <v>47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770B-3889-4A3D-B88B-FFA46D1B9D4B}">
  <dimension ref="A1:B5"/>
  <sheetViews>
    <sheetView workbookViewId="0">
      <selection sqref="A1:B1048576"/>
    </sheetView>
  </sheetViews>
  <sheetFormatPr defaultRowHeight="15" x14ac:dyDescent="0.25"/>
  <cols>
    <col min="1" max="1" width="31.140625" bestFit="1" customWidth="1"/>
    <col min="2" max="2" width="17.42578125" bestFit="1" customWidth="1"/>
  </cols>
  <sheetData>
    <row r="1" spans="1:2" x14ac:dyDescent="0.25">
      <c r="A1" t="s">
        <v>48</v>
      </c>
      <c r="B1" s="1" t="s">
        <v>53</v>
      </c>
    </row>
    <row r="2" spans="1:2" x14ac:dyDescent="0.25">
      <c r="A2" t="s">
        <v>49</v>
      </c>
      <c r="B2" s="1" t="s">
        <v>50</v>
      </c>
    </row>
    <row r="3" spans="1:2" x14ac:dyDescent="0.25">
      <c r="A3" t="s">
        <v>51</v>
      </c>
      <c r="B3" s="1" t="s">
        <v>52</v>
      </c>
    </row>
    <row r="5" spans="1:2" x14ac:dyDescent="0.25">
      <c r="A5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Categoria</vt:lpstr>
      <vt:lpstr>Telefone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Saure</dc:creator>
  <cp:lastModifiedBy>Cleber Saure</cp:lastModifiedBy>
  <dcterms:created xsi:type="dcterms:W3CDTF">2026-05-26T23:06:41Z</dcterms:created>
  <dcterms:modified xsi:type="dcterms:W3CDTF">2026-06-12T23:43:04Z</dcterms:modified>
</cp:coreProperties>
</file>